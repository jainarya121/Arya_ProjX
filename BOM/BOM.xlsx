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aina\Downloads\Meshmerize\Task 4\"/>
    </mc:Choice>
  </mc:AlternateContent>
  <xr:revisionPtr revIDLastSave="0" documentId="13_ncr:1_{5523B0AC-1F7E-4492-B353-DEE75B8BEA3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sk 4 BOM" sheetId="1" r:id="rId1"/>
  </sheets>
  <definedNames>
    <definedName name="_xlnm._FilterDatabase" localSheetId="0" hidden="1">'Task 4 BOM'!$A$1:$H$15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  <c r="E42" i="1"/>
  <c r="E41" i="1"/>
  <c r="E38" i="1"/>
  <c r="E37" i="1"/>
  <c r="E36" i="1"/>
  <c r="E35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<sst xmlns="http://schemas.openxmlformats.org/spreadsheetml/2006/main" count="235" uniqueCount="163">
  <si>
    <t>Qty</t>
  </si>
  <si>
    <t>Robot hardware</t>
  </si>
  <si>
    <t>DOIT ESP32 DevKit V1 (ESP32-WROOM-32, 30-pin)</t>
  </si>
  <si>
    <t>Techiesms</t>
  </si>
  <si>
    <t>https://techiesms.com/product/esp32-development-board-doit-devkit-v1/</t>
  </si>
  <si>
    <t>ESP32-WROOM-32; dual-core up to 240 MHz; Wi-Fi + Bluetooth Classic/BLE; 12-bit ADC.</t>
  </si>
  <si>
    <t>Required controller; WROOM-32 supports Classic Bluetooth SPP for later diagnostics.</t>
  </si>
  <si>
    <t>Live listing price; confirm exact module variant before ordering.</t>
  </si>
  <si>
    <t>TB6612FNG dual motor driver module — Probots PRO984</t>
  </si>
  <si>
    <t>Probots</t>
  </si>
  <si>
    <t>https://probots.co.in/tb6612fng-dual-channel-dc-motor-driver-module.html</t>
  </si>
  <si>
    <t>Module listing: VM 4.5–10 V; logic 2.7–5.5 V; dual MOSFET H-bridge; STBY pin.</t>
  </si>
  <si>
    <t>More efficient and compact than L298N, but requires a regulated motor rail at 9.0 V.</t>
  </si>
  <si>
    <t>Live listing. Do NOT connect this module's VM directly to a 3S LiPo.</t>
  </si>
  <si>
    <t>N20 12 V 200 RPM micro metal gear motor with encoder</t>
  </si>
  <si>
    <t>Robu.in</t>
  </si>
  <si>
    <t>https://robu.in/product/n20-12v-200rpm-micro-metal-gear-motor-with-encoder/</t>
  </si>
  <si>
    <t>12 V nominal; 200 RPM listed; encoder; 3 mm D-shaft. Exact stall current/resolution must be confirmed.</t>
  </si>
  <si>
    <t>Lower speed than 300 RPM is easier to control near junctions; encoders support later localization.</t>
  </si>
  <si>
    <t>Live category/product listing price; confirm current price and exact electrical specs.</t>
  </si>
  <si>
    <t>N20 motor mounting brackets (metal/plastic)</t>
  </si>
  <si>
    <t>Robu / local</t>
  </si>
  <si>
    <t>https://robu.in/</t>
  </si>
  <si>
    <t>Fit N20 gearbox dimensions and chosen chassis; verify M1.6/M2 hole pattern.</t>
  </si>
  <si>
    <t>Secure motors without fabricating custom gearbox parts.</t>
  </si>
  <si>
    <t>Budget estimate; source exact bracket SKU before purchase.</t>
  </si>
  <si>
    <t>42 mm wheel for N20 motor, 3 mm D-hole (3PI miniQ style)</t>
  </si>
  <si>
    <t>https://probots.co.in/3pi-miniq-car-wheel-tyre-42mm-for-n20-motor.html</t>
  </si>
  <si>
    <t>42 mm outer diameter; 3 mm D-bore; rubber tyre.</t>
  </si>
  <si>
    <t>At 200 RPM, theoretical no-load wheel speed is about 0.44 m/s; actual speed will be lower under load and at 9 V.</t>
  </si>
  <si>
    <t>Listed estimate from supplied BOM; verify fit on exact shaft.</t>
  </si>
  <si>
    <t>Metal ball caster for small robot car</t>
  </si>
  <si>
    <t>Compact ball caster; exact height/hole spacing to be checked against chassis.</t>
  </si>
  <si>
    <t>Provides a third support point; shim so chassis is level and sensors sit close to floor.</t>
  </si>
  <si>
    <t>Budget estimate; select exact mounting dimensions.</t>
  </si>
  <si>
    <t>Pro-Range 11.1 V 1000 mAh 30C 3S LiPo battery (XT60)</t>
  </si>
  <si>
    <t>https://robu.in/product-category/3-cell-lipo-11-1v-12-6v/</t>
  </si>
  <si>
    <t>11.1 V nominal; 12.6 V fully charged; 1000 mAh; 30C label; XT60 variant must be confirmed.</t>
  </si>
  <si>
    <t>Meets the reference 3S nominal battery rail; enough capacity for a compact robot if current/runtime checks pass.</t>
  </si>
  <si>
    <t>Live category listing includes this model at ₹1,049; confirm connector and stock.</t>
  </si>
  <si>
    <t>Mini MP1584 adjustable buck converter</t>
  </si>
  <si>
    <t>Typical module input 4.5–28 V; adjustable output; seller-rated 3 A maximum (board cooling matters).</t>
  </si>
  <si>
    <t>Set to 5.0 V for ESP32 VIN/5V input; measure with a multimeter before connecting.</t>
  </si>
  <si>
    <t>Budget estimate; confirm module's actual input/current specs.</t>
  </si>
  <si>
    <t>TCRT5000 bare reflective sensor — 5-pack</t>
  </si>
  <si>
    <t>https://robu.in/product/tcrt5000-reflective-ir-sensor-photoelectric-switch/</t>
  </si>
  <si>
    <t>Each contains IR emitter + phototransistor; supplier lists 5 sensors per pack.</t>
  </si>
  <si>
    <t>Two packs provide 10 parts: five for a custom analog array and five spares; use resistor circuits, not a comparator-only digital board.</t>
  </si>
  <si>
    <t>Live listing ₹69 per pack; confirm the listing is the bare sensor pack, not a digital module.</t>
  </si>
  <si>
    <t>FR4 perfboard 70×30 mm + 70×50 mm</t>
  </si>
  <si>
    <t>ElectronicsComp</t>
  </si>
  <si>
    <t>https://www.electronicscomp.com/</t>
  </si>
  <si>
    <t>2.54 mm pitch; one small sensor board and one main wiring board.</t>
  </si>
  <si>
    <t>Keeps sensor spacing fixed and gives a place for robust power distribution.</t>
  </si>
  <si>
    <t>Budget estimate; no exact SKU URL.</t>
  </si>
  <si>
    <t>Custom 3 mm acrylic chassis plate (~150×130 mm), laser cut</t>
  </si>
  <si>
    <t>Local laser-cut shop</t>
  </si>
  <si>
    <t>Approximate 150×130 mm footprint; finalize CAD/drawing to competition size limits.</t>
  </si>
  <si>
    <t>Custom plate avoids relying on a ready-made robot kit and can position sensor array precisely.</t>
  </si>
  <si>
    <t>Local quote estimate; obtain quote after final drawing.</t>
  </si>
  <si>
    <t>Capacitor set: 470 µF 25 V ×2, 100 µF 25 V ×2, 0.1 µF X7R ×10, 10 nF ×10</t>
  </si>
  <si>
    <t>Use voltage ratings above the rail; 25 V electrolytics provide margin over 12.6 V battery.</t>
  </si>
  <si>
    <t>Bulk capacitance helps transient response; 0.1 µF ceramic near motor terminals; sensor input filtering as required.</t>
  </si>
  <si>
    <t>Budget estimate. Do not rely on capacitors supplied on the driver board without checking their voltage rating.</t>
  </si>
  <si>
    <t>Resistor set: 220 Ω ×5, 10 kΩ ×10, 330 Ω, 100 kΩ + 22 kΩ</t>
  </si>
  <si>
    <t>¼ W resistors; values for IR LED current limiting, phototransistor loads, indicators and optional battery divider.</t>
  </si>
  <si>
    <t>Supports a custom analog TCRT5000 circuit and simple status indication.</t>
  </si>
  <si>
    <t>Budget estimate; verify IR LED current from the circuit design.</t>
  </si>
  <si>
    <t>Red 5 mm indicator LEDs</t>
  </si>
  <si>
    <t>Typical red LED Vf around 2 V; use series resistor.</t>
  </si>
  <si>
    <t>One can be used for the required END indicator; remaining LEDs are spares.</t>
  </si>
  <si>
    <t>Estimate per LED.</t>
  </si>
  <si>
    <t>R13-9 10 A, 12 V DC toggle switch</t>
  </si>
  <si>
    <t>BulkyBaba</t>
  </si>
  <si>
    <t>https://www.bulkybaba.in/product?slug=r13-9-10a-12v-dc-toggle-switch---heavy-duty-spco-hard-plastic---bulkybaba</t>
  </si>
  <si>
    <t>Seller advertises 10 A at 12 V DC; panel-mount toggle.</t>
  </si>
  <si>
    <t>Use a DC-rated switch rather than relying on an AC-only rating.</t>
  </si>
  <si>
    <t>Live listing observed around ₹45–₹49; budgeted at ₹49.</t>
  </si>
  <si>
    <t>6 mm tactile push-buttons</t>
  </si>
  <si>
    <t>Momentary tactile switches.</t>
  </si>
  <si>
    <t>One for START and one spare; use debounce in firmware.</t>
  </si>
  <si>
    <t>Budget estimate.</t>
  </si>
  <si>
    <t>XT60 connector pair (male + female)</t>
  </si>
  <si>
    <t>Keyed high-current battery connector; confirm polarity before soldering.</t>
  </si>
  <si>
    <t>Robust detachable battery connection.</t>
  </si>
  <si>
    <t>Budget estimate; inspect connector gender/polarity.</t>
  </si>
  <si>
    <t>Silicone wire, 18 AWG red + black, 1 m each</t>
  </si>
  <si>
    <t>Flexible insulated wire; use appropriate gauge for battery-to-driver path.</t>
  </si>
  <si>
    <t>Carries battery and motor power more reliably than thin Dupont jumpers.</t>
  </si>
  <si>
    <t>Dupont jumper wires (F-F and M-F), 40 pcs</t>
  </si>
  <si>
    <t>Bench signal wiring.</t>
  </si>
  <si>
    <t>Useful for initial prototyping; solder/secure final competition wiring.</t>
  </si>
  <si>
    <t>JST-PH/XH connector kit for motor/encoder leads</t>
  </si>
  <si>
    <t>Connector pitch and pin count must match the selected motor encoder cable.</t>
  </si>
  <si>
    <t>Allows motor/encoder replacement between runs.</t>
  </si>
  <si>
    <t>Budget estimate; verify exact connector pitch.</t>
  </si>
  <si>
    <t>Female headers for ESP32 and driver module</t>
  </si>
  <si>
    <t>2.54 mm pitch.</t>
  </si>
  <si>
    <t>Makes modules replaceable without desoldering during debugging.</t>
  </si>
  <si>
    <t>M2/M3 screws, nuts and nylon standoff kit</t>
  </si>
  <si>
    <t>Mixed small hardware.</t>
  </si>
  <si>
    <t>Mounts motors, boards and chassis securely.</t>
  </si>
  <si>
    <t>Heat-shrink, zip ties and double-sided foam tape</t>
  </si>
  <si>
    <t>Local / Robu</t>
  </si>
  <si>
    <t>Insulation and strain-relief materials.</t>
  </si>
  <si>
    <t>Prevents wire movement and helps retain the battery safely.</t>
  </si>
  <si>
    <t>XL4015 adjustable buck converter for motor rail</t>
  </si>
  <si>
    <t>KTRON</t>
  </si>
  <si>
    <t>https://www.ktron.in/product/xl4015-step-down-module/</t>
  </si>
  <si>
    <t>Seller lists 8–36 V input, adjustable output, 5 A module rating; module thermal rating depends on conditions.</t>
  </si>
  <si>
    <t>Set and verify output at 9.0 V before connecting TB6612FNG PRO984, whose board listing says VM 4.5–10 V.</t>
  </si>
  <si>
    <t>Live listing ₹86.50 incl. GST; do not treat the 5 A headline as guaranteed continuous output in all conditions.</t>
  </si>
  <si>
    <t>Inline fuse holder + provisional fuse allowance</t>
  </si>
  <si>
    <t>Local / electronics supplier</t>
  </si>
  <si>
    <t>Fuse rating must be selected after confirming motor startup/stall current and wire rating.</t>
  </si>
  <si>
    <t>Adds protection against battery-side wiring faults; place close to battery positive.</t>
  </si>
  <si>
    <t>Budget estimate; do not choose fuse solely from average running current.</t>
  </si>
  <si>
    <t>Tools / spares</t>
  </si>
  <si>
    <t>IMAX B3 Pro compact balance charger for 2S/3S LiPo</t>
  </si>
  <si>
    <t>https://probots.co.in/imax-b3-pro-balance-charger-for-2s-3s-lipo-battery.html</t>
  </si>
  <si>
    <t>For 2S/3S LiPo packs; verify wall plug and charger connector match.</t>
  </si>
  <si>
    <t>A compatible balance charger is required for safe charging of the 3S pack.</t>
  </si>
  <si>
    <t>Live listing around ₹489–₹499; budgeted at ₹499.</t>
  </si>
  <si>
    <t>LiPo cell checker / low-voltage buzzer (1–8S)</t>
  </si>
  <si>
    <t>Shows individual cell voltages and alarms on low voltage; exact model varies.</t>
  </si>
  <si>
    <t>Helps avoid over-discharging a LiPo pack.</t>
  </si>
  <si>
    <t>Budget estimate; confirm model supports 3S.</t>
  </si>
  <si>
    <t>Spare TB6612FNG driver module — Probots PRO984</t>
  </si>
  <si>
    <t>Same module as primary driver.</t>
  </si>
  <si>
    <t>Allows a rapid hardware swap if the driver is damaged.</t>
  </si>
  <si>
    <t>Live listing price.</t>
  </si>
  <si>
    <t>Spare N20 12 V 200 RPM encoder motor</t>
  </si>
  <si>
    <t>Use the same winding, gearbox ratio and encoder model as the main pair.</t>
  </si>
  <si>
    <t>Keeps replacement hardware consistent with tuning.</t>
  </si>
  <si>
    <t>Live listing/category price; confirm exact current/encoder details.</t>
  </si>
  <si>
    <t>Spare DOIT ESP32 DevKit V1 (ESP32-WROOM-32)</t>
  </si>
  <si>
    <t>Same board variant as primary controller.</t>
  </si>
  <si>
    <t>Pre-flashed backup can reduce downtime.</t>
  </si>
  <si>
    <t>Logistics</t>
  </si>
  <si>
    <t>Shipping allowance across suppliers</t>
  </si>
  <si>
    <t>Multiple suppliers</t>
  </si>
  <si>
    <t>Estimated combined shipping and delivery charges.</t>
  </si>
  <si>
    <t>Covers orders placed below free-shipping thresholds.</t>
  </si>
  <si>
    <t>Planning allowance; update with checkout totals.</t>
  </si>
  <si>
    <t>#</t>
  </si>
  <si>
    <t>Group</t>
  </si>
  <si>
    <t>Item / exact model</t>
  </si>
  <si>
    <t>Unit price (₹)</t>
  </si>
  <si>
    <t>Line total (₹)</t>
  </si>
  <si>
    <t>Supplier</t>
  </si>
  <si>
    <t>Supplier URL</t>
  </si>
  <si>
    <t>Key specifications / constraints</t>
  </si>
  <si>
    <t>Why selected</t>
  </si>
  <si>
    <t>Price basis / purchasing note</t>
  </si>
  <si>
    <t>Budget cap (₹)</t>
  </si>
  <si>
    <t>Robot hardware subtotal (₹)</t>
  </si>
  <si>
    <t>Tools / spares subtotal (₹)</t>
  </si>
  <si>
    <t>Shipping allowance (₹)</t>
  </si>
  <si>
    <t>Subtotal before contingency (₹)</t>
  </si>
  <si>
    <t>Contingency rate</t>
  </si>
  <si>
    <t>Contingency reserve (₹)</t>
  </si>
  <si>
    <t>GRAND TOTAL (₹)</t>
  </si>
  <si>
    <t>Budget headroom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</si>
</sst>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##"/>
    <numFmt numFmtId="165" formatCode="\₹#,##0.00"/>
    <numFmt numFmtId="166" formatCode="\₹#,##0"/>
    <numFmt numFmtId="167" formatCode="#,##0.0"/>
  </numFmts>
  <fonts count="6">
    <font>
      <sz val="11"/>
      <color theme="1"/>
      <name val="Calibri"/>
      <family val="2"/>
      <scheme val="minor"/>
    </font>
    <font>
      <sz val="11"/>
      <color theme="1"/>
      <name val="Carlito"/>
    </font>
    <font>
      <sz val="11"/>
      <color rgb="FF0563C1"/>
      <name val="Carlito"/>
    </font>
    <font>
      <b/>
      <sz val="11"/>
      <color rgb="FFFFFFFF"/>
      <name val="Carlito"/>
    </font>
    <font>
      <b/>
      <sz val="11"/>
      <color rgb="FF183B56"/>
      <name val="Carlito"/>
    </font>
    <font>
      <b/>
      <sz val="12"/>
      <color rgb="FF1D542D"/>
      <name val="Carlito"/>
    </font>
  </fonts>
  <fills count="8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3F6FA"/>
      </patternFill>
    </fill>
    <fill>
      <patternFill patternType="solid">
        <fgColor rgb="FFFFF2CC"/>
      </patternFill>
    </fill>
    <fill>
      <patternFill patternType="solid">
        <fgColor rgb="FF1F5D7A"/>
      </patternFill>
    </fill>
    <fill>
      <patternFill patternType="solid">
        <fgColor rgb="FFEAF0F5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vertical="top" wrapText="1"/>
    </xf>
    <xf numFmtId="164" fontId="1" fillId="3" borderId="2" xfId="0" applyNumberFormat="1" applyFont="1" applyFill="1" applyBorder="1" applyAlignment="1">
      <alignment horizontal="right" vertical="top" wrapText="1"/>
    </xf>
    <xf numFmtId="165" fontId="1" fillId="3" borderId="2" xfId="0" applyNumberFormat="1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16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right" vertical="top" wrapText="1"/>
    </xf>
    <xf numFmtId="0" fontId="2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vertical="top" wrapText="1"/>
    </xf>
    <xf numFmtId="164" fontId="1" fillId="4" borderId="2" xfId="0" applyNumberFormat="1" applyFont="1" applyFill="1" applyBorder="1" applyAlignment="1">
      <alignment horizontal="right" vertical="top" wrapText="1"/>
    </xf>
    <xf numFmtId="165" fontId="1" fillId="4" borderId="2" xfId="0" applyNumberFormat="1" applyFont="1" applyFill="1" applyBorder="1" applyAlignment="1">
      <alignment horizontal="right" vertical="top" wrapText="1"/>
    </xf>
    <xf numFmtId="0" fontId="2" fillId="4" borderId="2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vertical="top" wrapText="1"/>
    </xf>
    <xf numFmtId="164" fontId="1" fillId="5" borderId="2" xfId="0" applyNumberFormat="1" applyFont="1" applyFill="1" applyBorder="1" applyAlignment="1">
      <alignment horizontal="right" vertical="top" wrapText="1"/>
    </xf>
    <xf numFmtId="165" fontId="1" fillId="5" borderId="2" xfId="0" applyNumberFormat="1" applyFont="1" applyFill="1" applyBorder="1" applyAlignment="1">
      <alignment horizontal="right" vertical="top" wrapText="1"/>
    </xf>
    <xf numFmtId="0" fontId="2" fillId="5" borderId="2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4" fillId="7" borderId="0" xfId="0" applyFont="1" applyFill="1" applyAlignment="1">
      <alignment vertical="center" wrapText="1"/>
    </xf>
    <xf numFmtId="0" fontId="4" fillId="7" borderId="0" xfId="0" applyFont="1" applyFill="1" applyAlignment="1">
      <alignment horizontal="right" vertical="center" wrapText="1"/>
    </xf>
    <xf numFmtId="165" fontId="1" fillId="4" borderId="0" xfId="0" applyNumberFormat="1" applyFont="1" applyFill="1" applyAlignment="1">
      <alignment horizontal="right" vertical="top" wrapText="1"/>
    </xf>
    <xf numFmtId="165" fontId="0" fillId="0" borderId="0" xfId="0" applyNumberFormat="1"/>
    <xf numFmtId="9" fontId="0" fillId="0" borderId="0" xfId="0" applyNumberFormat="1"/>
    <xf numFmtId="167" fontId="0" fillId="0" borderId="0" xfId="0" applyNumberFormat="1"/>
    <xf numFmtId="0" fontId="4" fillId="7" borderId="0" xfId="0" applyFont="1" applyFill="1" applyAlignment="1">
      <alignment vertical="center" wrapText="1"/>
    </xf>
    <xf numFmtId="166" fontId="4" fillId="7" borderId="0" xfId="0" applyNumberFormat="1" applyFont="1" applyFill="1" applyAlignment="1">
      <alignment horizontal="right" vertical="center" wrapText="1"/>
    </xf>
    <xf numFmtId="0" fontId="5" fillId="2" borderId="0" xfId="0" applyFont="1" applyFill="1" applyAlignment="1">
      <alignment vertical="center" wrapText="1"/>
    </xf>
    <xf numFmtId="166" fontId="5" fillId="2" borderId="0" xfId="0" applyNumberFormat="1" applyFont="1" applyFill="1" applyAlignment="1">
      <alignment horizontal="right" vertical="center" wrapText="1"/>
    </xf>
    <xf numFmtId="165" fontId="4" fillId="7" borderId="0" xfId="0" applyNumberFormat="1" applyFont="1" applyFill="1" applyAlignment="1">
      <alignment horizontal="right" vertical="center" wrapText="1"/>
    </xf>
    <xf numFmtId="9" fontId="4" fillId="7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2"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CAC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pane ySplit="1" topLeftCell="A2" activePane="bottomLeft" state="frozen"/>
      <selection pane="bottomLeft" activeCell="G40" sqref="G40"/>
    </sheetView>
  </sheetViews>
  <sheetFormatPr defaultRowHeight="14.4"/>
  <cols>
    <col min="1" max="1" width="6.5546875" bestFit="1" customWidth="1"/>
    <col min="2" max="2" width="15.33203125" bestFit="1" customWidth="1"/>
    <col min="3" max="3" width="19.44140625" customWidth="1"/>
    <col min="4" max="4" width="8.88671875" bestFit="1" customWidth="1"/>
    <col min="5" max="5" width="17.88671875" bestFit="1" customWidth="1"/>
    <col min="6" max="6" width="17.5546875" bestFit="1" customWidth="1"/>
    <col min="7" max="7" width="24.88671875" bestFit="1" customWidth="1"/>
    <col min="8" max="8" width="48" customWidth="1"/>
    <col min="9" max="9" width="30.77734375" customWidth="1"/>
    <col min="10" max="10" width="27.6640625" customWidth="1"/>
    <col min="11" max="11" width="17" customWidth="1"/>
  </cols>
  <sheetData>
    <row r="1" spans="1:11" ht="31.95" customHeight="1">
      <c r="A1" s="25" t="s">
        <v>144</v>
      </c>
      <c r="B1" s="26" t="s">
        <v>145</v>
      </c>
      <c r="C1" s="26" t="s">
        <v>146</v>
      </c>
      <c r="D1" s="26" t="s">
        <v>0</v>
      </c>
      <c r="E1" s="26" t="s">
        <v>147</v>
      </c>
      <c r="F1" s="26" t="s">
        <v>148</v>
      </c>
      <c r="G1" s="26" t="s">
        <v>149</v>
      </c>
      <c r="H1" s="26" t="s">
        <v>150</v>
      </c>
      <c r="I1" s="26" t="s">
        <v>151</v>
      </c>
      <c r="J1" s="26" t="s">
        <v>152</v>
      </c>
      <c r="K1" s="27" t="s">
        <v>153</v>
      </c>
    </row>
    <row r="2" spans="1:11" ht="64.05" customHeight="1">
      <c r="A2" s="1">
        <v>1</v>
      </c>
      <c r="B2" s="2" t="s">
        <v>1</v>
      </c>
      <c r="C2" s="2" t="s">
        <v>2</v>
      </c>
      <c r="D2" s="3">
        <v>1</v>
      </c>
      <c r="E2" s="4">
        <v>385</v>
      </c>
      <c r="F2" s="4">
        <f t="shared" ref="F2:F32" si="0">D2*E2</f>
        <v>385</v>
      </c>
      <c r="G2" s="2" t="s">
        <v>3</v>
      </c>
      <c r="H2" s="5" t="s">
        <v>4</v>
      </c>
      <c r="I2" s="2" t="s">
        <v>5</v>
      </c>
      <c r="J2" s="2" t="s">
        <v>6</v>
      </c>
      <c r="K2" s="6" t="s">
        <v>7</v>
      </c>
    </row>
    <row r="3" spans="1:11" ht="64.05" customHeight="1">
      <c r="A3" s="7">
        <v>2</v>
      </c>
      <c r="B3" s="8" t="s">
        <v>1</v>
      </c>
      <c r="C3" s="8" t="s">
        <v>8</v>
      </c>
      <c r="D3" s="9">
        <v>1</v>
      </c>
      <c r="E3" s="10">
        <v>209</v>
      </c>
      <c r="F3" s="10">
        <f t="shared" si="0"/>
        <v>209</v>
      </c>
      <c r="G3" s="8" t="s">
        <v>9</v>
      </c>
      <c r="H3" s="11" t="s">
        <v>10</v>
      </c>
      <c r="I3" s="8" t="s">
        <v>11</v>
      </c>
      <c r="J3" s="8" t="s">
        <v>12</v>
      </c>
      <c r="K3" s="12" t="s">
        <v>13</v>
      </c>
    </row>
    <row r="4" spans="1:11" ht="64.05" customHeight="1">
      <c r="A4" s="1">
        <v>3</v>
      </c>
      <c r="B4" s="2" t="s">
        <v>1</v>
      </c>
      <c r="C4" s="2" t="s">
        <v>14</v>
      </c>
      <c r="D4" s="3">
        <v>2</v>
      </c>
      <c r="E4" s="4">
        <v>559</v>
      </c>
      <c r="F4" s="4">
        <f t="shared" si="0"/>
        <v>1118</v>
      </c>
      <c r="G4" s="2" t="s">
        <v>15</v>
      </c>
      <c r="H4" s="5" t="s">
        <v>16</v>
      </c>
      <c r="I4" s="2" t="s">
        <v>17</v>
      </c>
      <c r="J4" s="2" t="s">
        <v>18</v>
      </c>
      <c r="K4" s="6" t="s">
        <v>19</v>
      </c>
    </row>
    <row r="5" spans="1:11" ht="64.05" customHeight="1">
      <c r="A5" s="7">
        <v>4</v>
      </c>
      <c r="B5" s="8" t="s">
        <v>1</v>
      </c>
      <c r="C5" s="8" t="s">
        <v>20</v>
      </c>
      <c r="D5" s="9">
        <v>2</v>
      </c>
      <c r="E5" s="10">
        <v>40</v>
      </c>
      <c r="F5" s="10">
        <f t="shared" si="0"/>
        <v>80</v>
      </c>
      <c r="G5" s="8" t="s">
        <v>21</v>
      </c>
      <c r="H5" s="11" t="s">
        <v>22</v>
      </c>
      <c r="I5" s="8" t="s">
        <v>23</v>
      </c>
      <c r="J5" s="8" t="s">
        <v>24</v>
      </c>
      <c r="K5" s="12" t="s">
        <v>25</v>
      </c>
    </row>
    <row r="6" spans="1:11" ht="64.05" customHeight="1">
      <c r="A6" s="1">
        <v>5</v>
      </c>
      <c r="B6" s="2" t="s">
        <v>1</v>
      </c>
      <c r="C6" s="2" t="s">
        <v>26</v>
      </c>
      <c r="D6" s="3">
        <v>2</v>
      </c>
      <c r="E6" s="4">
        <v>59</v>
      </c>
      <c r="F6" s="4">
        <f t="shared" si="0"/>
        <v>118</v>
      </c>
      <c r="G6" s="2" t="s">
        <v>9</v>
      </c>
      <c r="H6" s="5" t="s">
        <v>27</v>
      </c>
      <c r="I6" s="2" t="s">
        <v>28</v>
      </c>
      <c r="J6" s="2" t="s">
        <v>29</v>
      </c>
      <c r="K6" s="6" t="s">
        <v>30</v>
      </c>
    </row>
    <row r="7" spans="1:11" ht="64.05" customHeight="1">
      <c r="A7" s="7">
        <v>6</v>
      </c>
      <c r="B7" s="8" t="s">
        <v>1</v>
      </c>
      <c r="C7" s="8" t="s">
        <v>31</v>
      </c>
      <c r="D7" s="9">
        <v>1</v>
      </c>
      <c r="E7" s="10">
        <v>70</v>
      </c>
      <c r="F7" s="10">
        <f t="shared" si="0"/>
        <v>70</v>
      </c>
      <c r="G7" s="8" t="s">
        <v>21</v>
      </c>
      <c r="H7" s="11" t="s">
        <v>22</v>
      </c>
      <c r="I7" s="8" t="s">
        <v>32</v>
      </c>
      <c r="J7" s="8" t="s">
        <v>33</v>
      </c>
      <c r="K7" s="12" t="s">
        <v>34</v>
      </c>
    </row>
    <row r="8" spans="1:11" ht="64.05" customHeight="1">
      <c r="A8" s="1">
        <v>7</v>
      </c>
      <c r="B8" s="2" t="s">
        <v>1</v>
      </c>
      <c r="C8" s="2" t="s">
        <v>35</v>
      </c>
      <c r="D8" s="3">
        <v>1</v>
      </c>
      <c r="E8" s="4">
        <v>1049</v>
      </c>
      <c r="F8" s="4">
        <f t="shared" si="0"/>
        <v>1049</v>
      </c>
      <c r="G8" s="2" t="s">
        <v>15</v>
      </c>
      <c r="H8" s="5" t="s">
        <v>36</v>
      </c>
      <c r="I8" s="2" t="s">
        <v>37</v>
      </c>
      <c r="J8" s="2" t="s">
        <v>38</v>
      </c>
      <c r="K8" s="6" t="s">
        <v>39</v>
      </c>
    </row>
    <row r="9" spans="1:11" ht="64.05" customHeight="1">
      <c r="A9" s="7">
        <v>8</v>
      </c>
      <c r="B9" s="8" t="s">
        <v>1</v>
      </c>
      <c r="C9" s="8" t="s">
        <v>40</v>
      </c>
      <c r="D9" s="9">
        <v>1</v>
      </c>
      <c r="E9" s="10">
        <v>75</v>
      </c>
      <c r="F9" s="10">
        <f t="shared" si="0"/>
        <v>75</v>
      </c>
      <c r="G9" s="8" t="s">
        <v>15</v>
      </c>
      <c r="H9" s="11" t="s">
        <v>22</v>
      </c>
      <c r="I9" s="8" t="s">
        <v>41</v>
      </c>
      <c r="J9" s="8" t="s">
        <v>42</v>
      </c>
      <c r="K9" s="12" t="s">
        <v>43</v>
      </c>
    </row>
    <row r="10" spans="1:11" ht="64.05" customHeight="1">
      <c r="A10" s="1">
        <v>9</v>
      </c>
      <c r="B10" s="2" t="s">
        <v>1</v>
      </c>
      <c r="C10" s="2" t="s">
        <v>44</v>
      </c>
      <c r="D10" s="3">
        <v>2</v>
      </c>
      <c r="E10" s="4">
        <v>69</v>
      </c>
      <c r="F10" s="4">
        <f t="shared" si="0"/>
        <v>138</v>
      </c>
      <c r="G10" s="2" t="s">
        <v>15</v>
      </c>
      <c r="H10" s="5" t="s">
        <v>45</v>
      </c>
      <c r="I10" s="2" t="s">
        <v>46</v>
      </c>
      <c r="J10" s="2" t="s">
        <v>47</v>
      </c>
      <c r="K10" s="6" t="s">
        <v>48</v>
      </c>
    </row>
    <row r="11" spans="1:11" ht="64.05" customHeight="1">
      <c r="A11" s="7">
        <v>10</v>
      </c>
      <c r="B11" s="8" t="s">
        <v>1</v>
      </c>
      <c r="C11" s="8" t="s">
        <v>49</v>
      </c>
      <c r="D11" s="9">
        <v>2</v>
      </c>
      <c r="E11" s="10">
        <v>40</v>
      </c>
      <c r="F11" s="10">
        <f t="shared" si="0"/>
        <v>80</v>
      </c>
      <c r="G11" s="8" t="s">
        <v>50</v>
      </c>
      <c r="H11" s="11" t="s">
        <v>51</v>
      </c>
      <c r="I11" s="8" t="s">
        <v>52</v>
      </c>
      <c r="J11" s="8" t="s">
        <v>53</v>
      </c>
      <c r="K11" s="12" t="s">
        <v>54</v>
      </c>
    </row>
    <row r="12" spans="1:11" ht="64.05" customHeight="1">
      <c r="A12" s="1">
        <v>11</v>
      </c>
      <c r="B12" s="2" t="s">
        <v>1</v>
      </c>
      <c r="C12" s="2" t="s">
        <v>55</v>
      </c>
      <c r="D12" s="3">
        <v>1</v>
      </c>
      <c r="E12" s="4">
        <v>350</v>
      </c>
      <c r="F12" s="4">
        <f t="shared" si="0"/>
        <v>350</v>
      </c>
      <c r="G12" s="2" t="s">
        <v>56</v>
      </c>
      <c r="H12" s="5"/>
      <c r="I12" s="2" t="s">
        <v>57</v>
      </c>
      <c r="J12" s="2" t="s">
        <v>58</v>
      </c>
      <c r="K12" s="6" t="s">
        <v>59</v>
      </c>
    </row>
    <row r="13" spans="1:11" ht="64.05" customHeight="1">
      <c r="A13" s="7">
        <v>12</v>
      </c>
      <c r="B13" s="8" t="s">
        <v>1</v>
      </c>
      <c r="C13" s="8" t="s">
        <v>60</v>
      </c>
      <c r="D13" s="9">
        <v>1</v>
      </c>
      <c r="E13" s="10">
        <v>100</v>
      </c>
      <c r="F13" s="10">
        <f t="shared" si="0"/>
        <v>100</v>
      </c>
      <c r="G13" s="8" t="s">
        <v>50</v>
      </c>
      <c r="H13" s="11" t="s">
        <v>51</v>
      </c>
      <c r="I13" s="8" t="s">
        <v>61</v>
      </c>
      <c r="J13" s="8" t="s">
        <v>62</v>
      </c>
      <c r="K13" s="12" t="s">
        <v>63</v>
      </c>
    </row>
    <row r="14" spans="1:11" ht="64.05" customHeight="1">
      <c r="A14" s="1">
        <v>13</v>
      </c>
      <c r="B14" s="2" t="s">
        <v>1</v>
      </c>
      <c r="C14" s="2" t="s">
        <v>64</v>
      </c>
      <c r="D14" s="3">
        <v>1</v>
      </c>
      <c r="E14" s="4">
        <v>50</v>
      </c>
      <c r="F14" s="4">
        <f t="shared" si="0"/>
        <v>50</v>
      </c>
      <c r="G14" s="2" t="s">
        <v>50</v>
      </c>
      <c r="H14" s="5" t="s">
        <v>51</v>
      </c>
      <c r="I14" s="2" t="s">
        <v>65</v>
      </c>
      <c r="J14" s="2" t="s">
        <v>66</v>
      </c>
      <c r="K14" s="6" t="s">
        <v>67</v>
      </c>
    </row>
    <row r="15" spans="1:11" ht="64.05" customHeight="1">
      <c r="A15" s="7">
        <v>14</v>
      </c>
      <c r="B15" s="8" t="s">
        <v>1</v>
      </c>
      <c r="C15" s="8" t="s">
        <v>68</v>
      </c>
      <c r="D15" s="9">
        <v>5</v>
      </c>
      <c r="E15" s="10">
        <v>2</v>
      </c>
      <c r="F15" s="10">
        <f t="shared" si="0"/>
        <v>10</v>
      </c>
      <c r="G15" s="8" t="s">
        <v>50</v>
      </c>
      <c r="H15" s="11" t="s">
        <v>51</v>
      </c>
      <c r="I15" s="8" t="s">
        <v>69</v>
      </c>
      <c r="J15" s="8" t="s">
        <v>70</v>
      </c>
      <c r="K15" s="12" t="s">
        <v>71</v>
      </c>
    </row>
    <row r="16" spans="1:11" ht="55.2">
      <c r="A16" s="1">
        <v>15</v>
      </c>
      <c r="B16" s="2" t="s">
        <v>1</v>
      </c>
      <c r="C16" s="2" t="s">
        <v>72</v>
      </c>
      <c r="D16" s="3">
        <v>1</v>
      </c>
      <c r="E16" s="4">
        <v>49</v>
      </c>
      <c r="F16" s="4">
        <f t="shared" si="0"/>
        <v>49</v>
      </c>
      <c r="G16" s="2" t="s">
        <v>73</v>
      </c>
      <c r="H16" s="5" t="s">
        <v>74</v>
      </c>
      <c r="I16" s="2" t="s">
        <v>75</v>
      </c>
      <c r="J16" s="2" t="s">
        <v>76</v>
      </c>
      <c r="K16" s="6" t="s">
        <v>77</v>
      </c>
    </row>
    <row r="17" spans="1:11" ht="41.4">
      <c r="A17" s="7">
        <v>16</v>
      </c>
      <c r="B17" s="8" t="s">
        <v>1</v>
      </c>
      <c r="C17" s="8" t="s">
        <v>78</v>
      </c>
      <c r="D17" s="9">
        <v>2</v>
      </c>
      <c r="E17" s="10">
        <v>5</v>
      </c>
      <c r="F17" s="10">
        <f t="shared" si="0"/>
        <v>10</v>
      </c>
      <c r="G17" s="8" t="s">
        <v>50</v>
      </c>
      <c r="H17" s="11" t="s">
        <v>51</v>
      </c>
      <c r="I17" s="8" t="s">
        <v>79</v>
      </c>
      <c r="J17" s="8" t="s">
        <v>80</v>
      </c>
      <c r="K17" s="12" t="s">
        <v>81</v>
      </c>
    </row>
    <row r="18" spans="1:11" ht="41.4">
      <c r="A18" s="1">
        <v>17</v>
      </c>
      <c r="B18" s="2" t="s">
        <v>1</v>
      </c>
      <c r="C18" s="2" t="s">
        <v>82</v>
      </c>
      <c r="D18" s="3">
        <v>1</v>
      </c>
      <c r="E18" s="4">
        <v>60</v>
      </c>
      <c r="F18" s="4">
        <f t="shared" si="0"/>
        <v>60</v>
      </c>
      <c r="G18" s="2" t="s">
        <v>15</v>
      </c>
      <c r="H18" s="5" t="s">
        <v>22</v>
      </c>
      <c r="I18" s="2" t="s">
        <v>83</v>
      </c>
      <c r="J18" s="2" t="s">
        <v>84</v>
      </c>
      <c r="K18" s="6" t="s">
        <v>85</v>
      </c>
    </row>
    <row r="19" spans="1:11" ht="41.4">
      <c r="A19" s="7">
        <v>18</v>
      </c>
      <c r="B19" s="8" t="s">
        <v>1</v>
      </c>
      <c r="C19" s="8" t="s">
        <v>86</v>
      </c>
      <c r="D19" s="9">
        <v>1</v>
      </c>
      <c r="E19" s="10">
        <v>80</v>
      </c>
      <c r="F19" s="10">
        <f t="shared" si="0"/>
        <v>80</v>
      </c>
      <c r="G19" s="8" t="s">
        <v>15</v>
      </c>
      <c r="H19" s="11" t="s">
        <v>22</v>
      </c>
      <c r="I19" s="8" t="s">
        <v>87</v>
      </c>
      <c r="J19" s="8" t="s">
        <v>88</v>
      </c>
      <c r="K19" s="12" t="s">
        <v>81</v>
      </c>
    </row>
    <row r="20" spans="1:11" ht="41.4">
      <c r="A20" s="1">
        <v>19</v>
      </c>
      <c r="B20" s="2" t="s">
        <v>1</v>
      </c>
      <c r="C20" s="2" t="s">
        <v>89</v>
      </c>
      <c r="D20" s="3">
        <v>1</v>
      </c>
      <c r="E20" s="4">
        <v>80</v>
      </c>
      <c r="F20" s="4">
        <f t="shared" si="0"/>
        <v>80</v>
      </c>
      <c r="G20" s="2" t="s">
        <v>15</v>
      </c>
      <c r="H20" s="5" t="s">
        <v>22</v>
      </c>
      <c r="I20" s="2" t="s">
        <v>90</v>
      </c>
      <c r="J20" s="2" t="s">
        <v>91</v>
      </c>
      <c r="K20" s="6" t="s">
        <v>81</v>
      </c>
    </row>
    <row r="21" spans="1:11" ht="41.4">
      <c r="A21" s="7">
        <v>20</v>
      </c>
      <c r="B21" s="8" t="s">
        <v>1</v>
      </c>
      <c r="C21" s="8" t="s">
        <v>92</v>
      </c>
      <c r="D21" s="9">
        <v>1</v>
      </c>
      <c r="E21" s="10">
        <v>60</v>
      </c>
      <c r="F21" s="10">
        <f t="shared" si="0"/>
        <v>60</v>
      </c>
      <c r="G21" s="8" t="s">
        <v>15</v>
      </c>
      <c r="H21" s="11" t="s">
        <v>22</v>
      </c>
      <c r="I21" s="8" t="s">
        <v>93</v>
      </c>
      <c r="J21" s="8" t="s">
        <v>94</v>
      </c>
      <c r="K21" s="12" t="s">
        <v>95</v>
      </c>
    </row>
    <row r="22" spans="1:11" ht="41.4">
      <c r="A22" s="1">
        <v>21</v>
      </c>
      <c r="B22" s="2" t="s">
        <v>1</v>
      </c>
      <c r="C22" s="2" t="s">
        <v>96</v>
      </c>
      <c r="D22" s="3">
        <v>1</v>
      </c>
      <c r="E22" s="4">
        <v>40</v>
      </c>
      <c r="F22" s="4">
        <f t="shared" si="0"/>
        <v>40</v>
      </c>
      <c r="G22" s="2" t="s">
        <v>50</v>
      </c>
      <c r="H22" s="5" t="s">
        <v>51</v>
      </c>
      <c r="I22" s="2" t="s">
        <v>97</v>
      </c>
      <c r="J22" s="2" t="s">
        <v>98</v>
      </c>
      <c r="K22" s="6" t="s">
        <v>81</v>
      </c>
    </row>
    <row r="23" spans="1:11" ht="41.4">
      <c r="A23" s="7">
        <v>22</v>
      </c>
      <c r="B23" s="8" t="s">
        <v>1</v>
      </c>
      <c r="C23" s="8" t="s">
        <v>99</v>
      </c>
      <c r="D23" s="9">
        <v>1</v>
      </c>
      <c r="E23" s="10">
        <v>150</v>
      </c>
      <c r="F23" s="10">
        <f t="shared" si="0"/>
        <v>150</v>
      </c>
      <c r="G23" s="8" t="s">
        <v>15</v>
      </c>
      <c r="H23" s="11" t="s">
        <v>22</v>
      </c>
      <c r="I23" s="8" t="s">
        <v>100</v>
      </c>
      <c r="J23" s="8" t="s">
        <v>101</v>
      </c>
      <c r="K23" s="12" t="s">
        <v>81</v>
      </c>
    </row>
    <row r="24" spans="1:11" ht="41.4">
      <c r="A24" s="1">
        <v>23</v>
      </c>
      <c r="B24" s="2" t="s">
        <v>1</v>
      </c>
      <c r="C24" s="2" t="s">
        <v>102</v>
      </c>
      <c r="D24" s="3">
        <v>1</v>
      </c>
      <c r="E24" s="4">
        <v>80</v>
      </c>
      <c r="F24" s="4">
        <f t="shared" si="0"/>
        <v>80</v>
      </c>
      <c r="G24" s="2" t="s">
        <v>103</v>
      </c>
      <c r="H24" s="5" t="s">
        <v>22</v>
      </c>
      <c r="I24" s="2" t="s">
        <v>104</v>
      </c>
      <c r="J24" s="2" t="s">
        <v>105</v>
      </c>
      <c r="K24" s="6" t="s">
        <v>81</v>
      </c>
    </row>
    <row r="25" spans="1:11" ht="96.6">
      <c r="A25" s="7">
        <v>24</v>
      </c>
      <c r="B25" s="8" t="s">
        <v>1</v>
      </c>
      <c r="C25" s="8" t="s">
        <v>106</v>
      </c>
      <c r="D25" s="9">
        <v>1</v>
      </c>
      <c r="E25" s="10">
        <v>86.5</v>
      </c>
      <c r="F25" s="10">
        <f t="shared" si="0"/>
        <v>86.5</v>
      </c>
      <c r="G25" s="8" t="s">
        <v>107</v>
      </c>
      <c r="H25" s="11" t="s">
        <v>108</v>
      </c>
      <c r="I25" s="8" t="s">
        <v>109</v>
      </c>
      <c r="J25" s="8" t="s">
        <v>110</v>
      </c>
      <c r="K25" s="12" t="s">
        <v>111</v>
      </c>
    </row>
    <row r="26" spans="1:11" ht="69">
      <c r="A26" s="1">
        <v>25</v>
      </c>
      <c r="B26" s="2" t="s">
        <v>1</v>
      </c>
      <c r="C26" s="2" t="s">
        <v>112</v>
      </c>
      <c r="D26" s="3">
        <v>1</v>
      </c>
      <c r="E26" s="4">
        <v>50</v>
      </c>
      <c r="F26" s="4">
        <f t="shared" si="0"/>
        <v>50</v>
      </c>
      <c r="G26" s="2" t="s">
        <v>113</v>
      </c>
      <c r="H26" s="5" t="s">
        <v>51</v>
      </c>
      <c r="I26" s="2" t="s">
        <v>114</v>
      </c>
      <c r="J26" s="2" t="s">
        <v>115</v>
      </c>
      <c r="K26" s="6" t="s">
        <v>116</v>
      </c>
    </row>
    <row r="27" spans="1:11" ht="69">
      <c r="A27" s="13">
        <v>26</v>
      </c>
      <c r="B27" s="14" t="s">
        <v>117</v>
      </c>
      <c r="C27" s="14" t="s">
        <v>118</v>
      </c>
      <c r="D27" s="15">
        <v>1</v>
      </c>
      <c r="E27" s="16">
        <v>499</v>
      </c>
      <c r="F27" s="16">
        <f t="shared" si="0"/>
        <v>499</v>
      </c>
      <c r="G27" s="14" t="s">
        <v>9</v>
      </c>
      <c r="H27" s="17" t="s">
        <v>119</v>
      </c>
      <c r="I27" s="14" t="s">
        <v>120</v>
      </c>
      <c r="J27" s="14" t="s">
        <v>121</v>
      </c>
      <c r="K27" s="18" t="s">
        <v>122</v>
      </c>
    </row>
    <row r="28" spans="1:11" ht="41.4">
      <c r="A28" s="13">
        <v>27</v>
      </c>
      <c r="B28" s="14" t="s">
        <v>117</v>
      </c>
      <c r="C28" s="14" t="s">
        <v>123</v>
      </c>
      <c r="D28" s="15">
        <v>1</v>
      </c>
      <c r="E28" s="16">
        <v>90</v>
      </c>
      <c r="F28" s="16">
        <f t="shared" si="0"/>
        <v>90</v>
      </c>
      <c r="G28" s="14" t="s">
        <v>15</v>
      </c>
      <c r="H28" s="17" t="s">
        <v>22</v>
      </c>
      <c r="I28" s="14" t="s">
        <v>124</v>
      </c>
      <c r="J28" s="14" t="s">
        <v>125</v>
      </c>
      <c r="K28" s="18" t="s">
        <v>126</v>
      </c>
    </row>
    <row r="29" spans="1:11" ht="41.4">
      <c r="A29" s="13">
        <v>28</v>
      </c>
      <c r="B29" s="14" t="s">
        <v>117</v>
      </c>
      <c r="C29" s="14" t="s">
        <v>127</v>
      </c>
      <c r="D29" s="15">
        <v>1</v>
      </c>
      <c r="E29" s="16">
        <v>209</v>
      </c>
      <c r="F29" s="16">
        <f t="shared" si="0"/>
        <v>209</v>
      </c>
      <c r="G29" s="14" t="s">
        <v>9</v>
      </c>
      <c r="H29" s="17" t="s">
        <v>10</v>
      </c>
      <c r="I29" s="14" t="s">
        <v>128</v>
      </c>
      <c r="J29" s="14" t="s">
        <v>129</v>
      </c>
      <c r="K29" s="18" t="s">
        <v>130</v>
      </c>
    </row>
    <row r="30" spans="1:11" ht="82.8">
      <c r="A30" s="13">
        <v>29</v>
      </c>
      <c r="B30" s="14" t="s">
        <v>117</v>
      </c>
      <c r="C30" s="14" t="s">
        <v>131</v>
      </c>
      <c r="D30" s="15">
        <v>1</v>
      </c>
      <c r="E30" s="16">
        <v>559</v>
      </c>
      <c r="F30" s="16">
        <f t="shared" si="0"/>
        <v>559</v>
      </c>
      <c r="G30" s="14" t="s">
        <v>15</v>
      </c>
      <c r="H30" s="17" t="s">
        <v>16</v>
      </c>
      <c r="I30" s="14" t="s">
        <v>132</v>
      </c>
      <c r="J30" s="14" t="s">
        <v>133</v>
      </c>
      <c r="K30" s="18" t="s">
        <v>134</v>
      </c>
    </row>
    <row r="31" spans="1:11" ht="41.4">
      <c r="A31" s="13">
        <v>30</v>
      </c>
      <c r="B31" s="14" t="s">
        <v>117</v>
      </c>
      <c r="C31" s="14" t="s">
        <v>135</v>
      </c>
      <c r="D31" s="15">
        <v>1</v>
      </c>
      <c r="E31" s="16">
        <v>385</v>
      </c>
      <c r="F31" s="16">
        <f t="shared" si="0"/>
        <v>385</v>
      </c>
      <c r="G31" s="14" t="s">
        <v>3</v>
      </c>
      <c r="H31" s="17" t="s">
        <v>4</v>
      </c>
      <c r="I31" s="14" t="s">
        <v>136</v>
      </c>
      <c r="J31" s="14" t="s">
        <v>137</v>
      </c>
      <c r="K31" s="18" t="s">
        <v>130</v>
      </c>
    </row>
    <row r="32" spans="1:11" ht="55.2">
      <c r="A32" s="19">
        <v>31</v>
      </c>
      <c r="B32" s="20" t="s">
        <v>138</v>
      </c>
      <c r="C32" s="20" t="s">
        <v>139</v>
      </c>
      <c r="D32" s="21">
        <v>1</v>
      </c>
      <c r="E32" s="22">
        <v>400</v>
      </c>
      <c r="F32" s="22">
        <f t="shared" si="0"/>
        <v>400</v>
      </c>
      <c r="G32" s="20" t="s">
        <v>140</v>
      </c>
      <c r="H32" s="23"/>
      <c r="I32" s="20" t="s">
        <v>141</v>
      </c>
      <c r="J32" s="20" t="s">
        <v>142</v>
      </c>
      <c r="K32" s="24" t="s">
        <v>143</v>
      </c>
    </row>
    <row r="34" spans="1:5">
      <c r="A34" s="34" t="s">
        <v>154</v>
      </c>
      <c r="B34" s="38"/>
      <c r="C34" s="34"/>
      <c r="E34" s="30">
        <v>10000</v>
      </c>
    </row>
    <row r="35" spans="1:5">
      <c r="A35" s="34" t="s">
        <v>155</v>
      </c>
      <c r="B35" s="38"/>
      <c r="C35" s="34"/>
      <c r="E35" s="31">
        <f>SUM(F2:F26)</f>
        <v>4577.5</v>
      </c>
    </row>
    <row r="36" spans="1:5">
      <c r="A36" s="34" t="s">
        <v>156</v>
      </c>
      <c r="B36" s="38"/>
      <c r="C36" s="34"/>
      <c r="E36" s="31">
        <f>SUM(F27:F31)</f>
        <v>1742</v>
      </c>
    </row>
    <row r="37" spans="1:5">
      <c r="A37" s="34" t="s">
        <v>157</v>
      </c>
      <c r="B37" s="38"/>
      <c r="C37" s="34"/>
      <c r="E37" s="31">
        <f>E32</f>
        <v>400</v>
      </c>
    </row>
    <row r="38" spans="1:5">
      <c r="A38" s="34" t="s">
        <v>158</v>
      </c>
      <c r="B38" s="38"/>
      <c r="C38" s="34"/>
      <c r="E38" s="31">
        <f>SUM(E35:E37)</f>
        <v>6719.5</v>
      </c>
    </row>
    <row r="39" spans="1:5">
      <c r="A39" s="28"/>
      <c r="B39" s="29"/>
      <c r="C39" s="28"/>
    </row>
    <row r="40" spans="1:5">
      <c r="A40" s="34" t="s">
        <v>159</v>
      </c>
      <c r="B40" s="39"/>
      <c r="C40" s="34"/>
      <c r="E40" s="32">
        <v>0.1</v>
      </c>
    </row>
    <row r="41" spans="1:5">
      <c r="A41" s="34" t="s">
        <v>160</v>
      </c>
      <c r="B41" s="35"/>
      <c r="C41" s="34"/>
      <c r="E41">
        <f>ROUNDUP(E38*E40,0)</f>
        <v>672</v>
      </c>
    </row>
    <row r="42" spans="1:5" ht="15.6">
      <c r="A42" s="36" t="s">
        <v>161</v>
      </c>
      <c r="B42" s="37"/>
      <c r="C42" s="36"/>
      <c r="E42" s="33">
        <f>SUM(E38+E41)</f>
        <v>7391.5</v>
      </c>
    </row>
    <row r="43" spans="1:5">
      <c r="A43" s="34" t="s">
        <v>162</v>
      </c>
      <c r="B43" s="35"/>
      <c r="C43" s="34"/>
      <c r="E43" s="33">
        <f>E34-E42</f>
        <v>2608.5</v>
      </c>
    </row>
  </sheetData>
  <autoFilter ref="A1:H15" xr:uid="{00000000-0009-0000-0000-000000000000}"/>
  <mergeCells count="9">
    <mergeCell ref="A41:C41"/>
    <mergeCell ref="A42:C42"/>
    <mergeCell ref="A43:C43"/>
    <mergeCell ref="A34:C34"/>
    <mergeCell ref="A35:C35"/>
    <mergeCell ref="A36:C36"/>
    <mergeCell ref="A37:C37"/>
    <mergeCell ref="A38:C38"/>
    <mergeCell ref="A40:C40"/>
  </mergeCells>
  <conditionalFormatting sqref="B43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4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 Jain</cp:lastModifiedBy>
  <dcterms:created xsi:type="dcterms:W3CDTF">2026-10-26T15:33:02Z</dcterms:created>
  <dcterms:modified xsi:type="dcterms:W3CDTF">2026-10-26T17:00:39Z</dcterms:modified>
</cp:coreProperties>
</file>